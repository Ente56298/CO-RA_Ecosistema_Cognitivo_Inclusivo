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ge\Documents\"/>
    </mc:Choice>
  </mc:AlternateContent>
  <xr:revisionPtr revIDLastSave="0" documentId="13_ncr:1_{B8A2A2BC-E66C-46DB-9383-803615B90E8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oja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W2" i="1" l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B2" i="1"/>
  <c r="A2" i="1"/>
  <c r="C2" i="1"/>
</calcChain>
</file>

<file path=xl/sharedStrings.xml><?xml version="1.0" encoding="utf-8"?>
<sst xmlns="http://schemas.openxmlformats.org/spreadsheetml/2006/main" count="75" uniqueCount="75">
  <si>
    <t>CVE_CATAS</t>
  </si>
  <si>
    <t>COMPRA_VENTA</t>
  </si>
  <si>
    <t>DONACION</t>
  </si>
  <si>
    <t>CESION</t>
  </si>
  <si>
    <t>PERMUTA</t>
  </si>
  <si>
    <t>INFORMACION_DOMINIO</t>
  </si>
  <si>
    <t>SUCESORIO</t>
  </si>
  <si>
    <t>USUCAPION</t>
  </si>
  <si>
    <t>OTRO</t>
  </si>
  <si>
    <t>PONER OPCION</t>
  </si>
  <si>
    <t>DIA_OP</t>
  </si>
  <si>
    <t>MES_OP</t>
  </si>
  <si>
    <t>AÑO_OP</t>
  </si>
  <si>
    <t>NOM_NVO_PROP</t>
  </si>
  <si>
    <t>RFC_NVO_PROP</t>
  </si>
  <si>
    <t>DOM_FISC</t>
  </si>
  <si>
    <t>NO_EXT</t>
  </si>
  <si>
    <t>NO_INT</t>
  </si>
  <si>
    <t>COLONIA_NVO_PROP</t>
  </si>
  <si>
    <t>COD_POST_NVO_PROP</t>
  </si>
  <si>
    <t>POB_NVO_PROP</t>
  </si>
  <si>
    <t>MUN_NVO_PROP</t>
  </si>
  <si>
    <t>ENTIDAD_NVO__PROP</t>
  </si>
  <si>
    <t>NOM_PROP_ANT</t>
  </si>
  <si>
    <t>UBICACIÓN_PRED</t>
  </si>
  <si>
    <t>NO_EXT_PROP_ANT</t>
  </si>
  <si>
    <t>NO_INT_PROP_ANT</t>
  </si>
  <si>
    <t>ENTRE_CALLE</t>
  </si>
  <si>
    <t>Y_CALLE</t>
  </si>
  <si>
    <t>COD_POS_PROP_ANT</t>
  </si>
  <si>
    <t>COL_PROP_ANT</t>
  </si>
  <si>
    <t>POB_PROP_ANT</t>
  </si>
  <si>
    <t>SUPERFICE_TERR</t>
  </si>
  <si>
    <t>NIVELES</t>
  </si>
  <si>
    <t>ANTIGÜEDAD</t>
  </si>
  <si>
    <t>SUP_COSNTRUIDA</t>
  </si>
  <si>
    <t>TIPO_PRED_URB</t>
  </si>
  <si>
    <t>TIP_PRED_RUSTICO</t>
  </si>
  <si>
    <t>USO_HAB</t>
  </si>
  <si>
    <t>USO_COM</t>
  </si>
  <si>
    <t>USO_IND</t>
  </si>
  <si>
    <t>USO_AGRI</t>
  </si>
  <si>
    <t>USO_OTRO</t>
  </si>
  <si>
    <t>OTRO_USO</t>
  </si>
  <si>
    <t>TEXTO_NORTE</t>
  </si>
  <si>
    <t>TEXTO_SUR</t>
  </si>
  <si>
    <t>TEXTO_ORIENTE</t>
  </si>
  <si>
    <t>TEXTO_PONIENTE</t>
  </si>
  <si>
    <t>MED_NORTE</t>
  </si>
  <si>
    <t>MED_SUR</t>
  </si>
  <si>
    <t>MED_ORIENTE</t>
  </si>
  <si>
    <t>MED_PONIENTE</t>
  </si>
  <si>
    <t>COL_NTE</t>
  </si>
  <si>
    <t>COL_SUR</t>
  </si>
  <si>
    <t>COL_OTE</t>
  </si>
  <si>
    <t>COL_PTE</t>
  </si>
  <si>
    <t>MISMO_PROP</t>
  </si>
  <si>
    <t>DEDUCCION_LEY</t>
  </si>
  <si>
    <t>OPERACIÓN</t>
  </si>
  <si>
    <t>AVALUO</t>
  </si>
  <si>
    <t>VAL_CATAS</t>
  </si>
  <si>
    <t>BASE_GRAVA</t>
  </si>
  <si>
    <t>IMPORTE</t>
  </si>
  <si>
    <t>RECARGOS</t>
  </si>
  <si>
    <t>MULTA</t>
  </si>
  <si>
    <t>OTROS</t>
  </si>
  <si>
    <t>TOTAL</t>
  </si>
  <si>
    <t>FECHA_ACTUAL</t>
  </si>
  <si>
    <t>FECHA_COMPLETA</t>
  </si>
  <si>
    <t>NUM_RECIBO</t>
  </si>
  <si>
    <t>NUM_REG</t>
  </si>
  <si>
    <t>CLAVE_CONTRALORIA</t>
  </si>
  <si>
    <t>CVE_CATAS_ANT</t>
  </si>
  <si>
    <t>FOLIO</t>
  </si>
  <si>
    <t>PAGINA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</si>
</sst>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8</xdr:row>
          <xdr:rowOff>30480</xdr:rowOff>
        </xdr:from>
        <xdr:to>
          <xdr:col>7</xdr:col>
          <xdr:colOff>274320</xdr:colOff>
          <xdr:row>11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ORMATO_TRASL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_traslado"/>
      <sheetName val="medidas_formato"/>
      <sheetName val="datos"/>
      <sheetName val="Hoja1"/>
      <sheetName val="hora"/>
      <sheetName val="VALORES"/>
      <sheetName val="busqueda_datos"/>
      <sheetName val="NIVELES_AÑO"/>
      <sheetName val="DATOS_PARA_LLENAR"/>
      <sheetName val="calculadora"/>
    </sheetNames>
    <sheetDataSet>
      <sheetData sheetId="0"/>
      <sheetData sheetId="1"/>
      <sheetData sheetId="2">
        <row r="2">
          <cell r="A2" t="str">
            <v xml:space="preserve">056 01 001 01  </v>
          </cell>
          <cell r="B2" t="str">
            <v>x</v>
          </cell>
          <cell r="C2" t="str">
            <v xml:space="preserve"> </v>
          </cell>
          <cell r="D2" t="str">
            <v xml:space="preserve"> </v>
          </cell>
          <cell r="E2" t="str">
            <v xml:space="preserve"> </v>
          </cell>
          <cell r="F2" t="str">
            <v xml:space="preserve"> </v>
          </cell>
          <cell r="G2" t="str">
            <v xml:space="preserve"> </v>
          </cell>
          <cell r="H2" t="str">
            <v xml:space="preserve"> </v>
          </cell>
          <cell r="I2" t="str">
            <v xml:space="preserve"> </v>
          </cell>
          <cell r="J2" t="str">
            <v/>
          </cell>
          <cell r="K2" t="str">
            <v>7</v>
          </cell>
          <cell r="L2" t="str">
            <v>5</v>
          </cell>
          <cell r="M2" t="str">
            <v>2022</v>
          </cell>
          <cell r="N2" t="str">
            <v>MARURI JAIMES LUIS</v>
          </cell>
          <cell r="O2" t="str">
            <v>MAJL</v>
          </cell>
          <cell r="P2" t="str">
            <v>CALLE JUAREZ # S/N COL.BARRIO LA FRAGUA CP. 51470 .</v>
          </cell>
          <cell r="Q2" t="str">
            <v>S/N</v>
          </cell>
          <cell r="R2" t="str">
            <v>S/N</v>
          </cell>
          <cell r="S2" t="str">
            <v>ESTANCIA VIEJA</v>
          </cell>
          <cell r="T2" t="str">
            <v>51479</v>
          </cell>
          <cell r="U2" t="str">
            <v>ESTANCIA VIEJA</v>
          </cell>
          <cell r="V2" t="str">
            <v>SAN SIMON DE GUERRERO</v>
          </cell>
          <cell r="W2" t="str">
            <v>MEXICO</v>
          </cell>
          <cell r="X2" t="str">
            <v>PARROQUIA</v>
          </cell>
          <cell r="Y2" t="str">
            <v>CALLE EL CIPRES,# S/N,COL.CENTRO,CP. 51300</v>
          </cell>
          <cell r="Z2" t="str">
            <v>S/N</v>
          </cell>
          <cell r="AA2" t="str">
            <v>S/N</v>
          </cell>
          <cell r="AB2" t="str">
            <v>CIPRÉS</v>
          </cell>
          <cell r="AC2" t="str">
            <v>CÉSAR CAMACHO QUIROZ</v>
          </cell>
          <cell r="AD2" t="str">
            <v>51475</v>
          </cell>
          <cell r="AE2" t="str">
            <v>SAN PEDRO</v>
          </cell>
          <cell r="AF2" t="str">
            <v>SAN SIMON DE GUERRERO</v>
          </cell>
          <cell r="AG2" t="str">
            <v>2316</v>
          </cell>
          <cell r="AH2" t="str">
            <v>1</v>
          </cell>
          <cell r="AI2" t="str">
            <v>0 AÑOS</v>
          </cell>
          <cell r="AJ2" t="str">
            <v>1316</v>
          </cell>
          <cell r="AK2" t="str">
            <v>x</v>
          </cell>
          <cell r="AL2" t="str">
            <v xml:space="preserve"> </v>
          </cell>
          <cell r="AM2" t="str">
            <v>x</v>
          </cell>
          <cell r="AN2" t="str">
            <v xml:space="preserve"> </v>
          </cell>
          <cell r="AO2" t="str">
            <v xml:space="preserve"> </v>
          </cell>
          <cell r="AP2" t="str">
            <v xml:space="preserve"> </v>
          </cell>
          <cell r="AQ2" t="str">
            <v xml:space="preserve"> </v>
          </cell>
          <cell r="AR2" t="str">
            <v/>
          </cell>
          <cell r="AS2" t="str">
            <v>NORTE</v>
          </cell>
          <cell r="AT2" t="str">
            <v>SUR</v>
          </cell>
          <cell r="AU2" t="str">
            <v>ORIENTE</v>
          </cell>
          <cell r="AV2" t="str">
            <v>PONIENTE</v>
          </cell>
          <cell r="AW2" t="str">
            <v>12</v>
          </cell>
          <cell r="AX2" t="str">
            <v>23</v>
          </cell>
          <cell r="AY2" t="str">
            <v>34</v>
          </cell>
          <cell r="AZ2" t="str">
            <v>34</v>
          </cell>
          <cell r="BA2" t="str">
            <v>sdsdfsdfsdf</v>
          </cell>
          <cell r="BB2" t="str">
            <v>sdfsdf</v>
          </cell>
          <cell r="BC2" t="str">
            <v>sdfdsgsdfsdf</v>
          </cell>
          <cell r="BD2" t="str">
            <v>dsfgjgdsgsdf</v>
          </cell>
          <cell r="BE2" t="str">
            <v>MARURI JAIMES LUIS</v>
          </cell>
          <cell r="BF2" t="str">
            <v/>
          </cell>
          <cell r="BG2" t="str">
            <v/>
          </cell>
          <cell r="BH2" t="str">
            <v/>
          </cell>
          <cell r="BI2" t="str">
            <v>295846</v>
          </cell>
          <cell r="BJ2" t="str">
            <v/>
          </cell>
          <cell r="BK2" t="str">
            <v>$ 800.00</v>
          </cell>
          <cell r="BL2" t="str">
            <v/>
          </cell>
          <cell r="BM2" t="str">
            <v/>
          </cell>
          <cell r="BO2" t="str">
            <v>800.00</v>
          </cell>
          <cell r="BP2" t="str">
            <v>21/01/2022</v>
          </cell>
          <cell r="BQ2" t="str">
            <v>21/01/2022</v>
          </cell>
          <cell r="BR2" t="str">
            <v/>
          </cell>
          <cell r="BS2" t="str">
            <v/>
          </cell>
          <cell r="BT2" t="str">
            <v/>
          </cell>
          <cell r="BU2" t="str">
            <v xml:space="preserve">056 01 001 01  </v>
          </cell>
          <cell r="BV2" t="str">
            <v>0001</v>
          </cell>
          <cell r="BW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W2"/>
  <sheetViews>
    <sheetView tabSelected="1" topLeftCell="AU1" zoomScale="70" zoomScaleNormal="70" workbookViewId="0">
      <selection activeCell="BA2" sqref="BA2"/>
    </sheetView>
  </sheetViews>
  <sheetFormatPr baseColWidth="10" defaultRowHeight="10.199999999999999" x14ac:dyDescent="0.2"/>
  <sheetData>
    <row r="1" spans="1:7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</row>
    <row r="2" spans="1:75" x14ac:dyDescent="0.2">
      <c r="A2" s="1" t="str">
        <f>+[1]datos!A2</f>
        <v xml:space="preserve">056 01 001 01  </v>
      </c>
      <c r="B2" s="1" t="str">
        <f>+[1]datos!B2</f>
        <v>x</v>
      </c>
      <c r="C2" s="1" t="str">
        <f>+[1]datos!C2</f>
        <v xml:space="preserve"> </v>
      </c>
      <c r="D2" s="1" t="str">
        <f>+[1]datos!D2</f>
        <v xml:space="preserve"> </v>
      </c>
      <c r="E2" s="1" t="str">
        <f>+[1]datos!E2</f>
        <v xml:space="preserve"> </v>
      </c>
      <c r="F2" s="1" t="str">
        <f>+[1]datos!F2</f>
        <v xml:space="preserve"> </v>
      </c>
      <c r="G2" s="1" t="str">
        <f>+[1]datos!G2</f>
        <v xml:space="preserve"> </v>
      </c>
      <c r="H2" s="1" t="str">
        <f>+[1]datos!H2</f>
        <v xml:space="preserve"> </v>
      </c>
      <c r="I2" s="1" t="str">
        <f>+[1]datos!I2</f>
        <v xml:space="preserve"> </v>
      </c>
      <c r="J2" s="1" t="str">
        <f>+[1]datos!J2</f>
        <v/>
      </c>
      <c r="K2" s="1" t="str">
        <f>+[1]datos!K2</f>
        <v>7</v>
      </c>
      <c r="L2" s="1" t="str">
        <f>+[1]datos!L2</f>
        <v>5</v>
      </c>
      <c r="M2" s="1" t="str">
        <f>+[1]datos!M2</f>
        <v>2022</v>
      </c>
      <c r="N2" s="1" t="str">
        <f>+[1]datos!N2</f>
        <v>MARURI JAIMES LUIS</v>
      </c>
      <c r="O2" s="1" t="str">
        <f>+[1]datos!O2</f>
        <v>MAJL</v>
      </c>
      <c r="P2" s="1" t="str">
        <f>+[1]datos!P2</f>
        <v>CALLE JUAREZ # S/N COL.BARRIO LA FRAGUA CP. 51470 .</v>
      </c>
      <c r="Q2" s="1" t="str">
        <f>+[1]datos!Q2</f>
        <v>S/N</v>
      </c>
      <c r="R2" s="1" t="str">
        <f>+[1]datos!R2</f>
        <v>S/N</v>
      </c>
      <c r="S2" s="1" t="str">
        <f>+[1]datos!S2</f>
        <v>ESTANCIA VIEJA</v>
      </c>
      <c r="T2" s="1" t="str">
        <f>+[1]datos!T2</f>
        <v>51479</v>
      </c>
      <c r="U2" s="1" t="str">
        <f>+[1]datos!U2</f>
        <v>ESTANCIA VIEJA</v>
      </c>
      <c r="V2" s="1" t="str">
        <f>+[1]datos!V2</f>
        <v>SAN SIMON DE GUERRERO</v>
      </c>
      <c r="W2" s="1" t="str">
        <f>+[1]datos!W2</f>
        <v>MEXICO</v>
      </c>
      <c r="X2" s="1" t="str">
        <f>+[1]datos!X2</f>
        <v>PARROQUIA</v>
      </c>
      <c r="Y2" s="1" t="str">
        <f>+[1]datos!Y2</f>
        <v>CALLE EL CIPRES,# S/N,COL.CENTRO,CP. 51300</v>
      </c>
      <c r="Z2" s="1" t="str">
        <f>+[1]datos!Z2</f>
        <v>S/N</v>
      </c>
      <c r="AA2" s="1" t="str">
        <f>+[1]datos!AA2</f>
        <v>S/N</v>
      </c>
      <c r="AB2" s="1" t="str">
        <f>+[1]datos!AB2</f>
        <v>CIPRÉS</v>
      </c>
      <c r="AC2" s="1" t="str">
        <f>+[1]datos!AC2</f>
        <v>CÉSAR CAMACHO QUIROZ</v>
      </c>
      <c r="AD2" s="1" t="str">
        <f>+[1]datos!AD2</f>
        <v>51475</v>
      </c>
      <c r="AE2" s="1" t="str">
        <f>+[1]datos!AE2</f>
        <v>SAN PEDRO</v>
      </c>
      <c r="AF2" s="1" t="str">
        <f>+[1]datos!AF2</f>
        <v>SAN SIMON DE GUERRERO</v>
      </c>
      <c r="AG2" s="1" t="str">
        <f>+[1]datos!AG2</f>
        <v>2316</v>
      </c>
      <c r="AH2" s="1" t="str">
        <f>+[1]datos!AH2</f>
        <v>1</v>
      </c>
      <c r="AI2" s="1" t="str">
        <f>+[1]datos!AI2</f>
        <v>0 AÑOS</v>
      </c>
      <c r="AJ2" s="1" t="str">
        <f>+[1]datos!AJ2</f>
        <v>1316</v>
      </c>
      <c r="AK2" s="1" t="str">
        <f>+[1]datos!AK2</f>
        <v>x</v>
      </c>
      <c r="AL2" s="1" t="str">
        <f>+[1]datos!AL2</f>
        <v xml:space="preserve"> </v>
      </c>
      <c r="AM2" s="1" t="str">
        <f>+[1]datos!AM2</f>
        <v>x</v>
      </c>
      <c r="AN2" s="1" t="str">
        <f>+[1]datos!AN2</f>
        <v xml:space="preserve"> </v>
      </c>
      <c r="AO2" s="1" t="str">
        <f>+[1]datos!AO2</f>
        <v xml:space="preserve"> </v>
      </c>
      <c r="AP2" s="1" t="str">
        <f>+[1]datos!AP2</f>
        <v xml:space="preserve"> </v>
      </c>
      <c r="AQ2" s="1" t="str">
        <f>+[1]datos!AQ2</f>
        <v xml:space="preserve"> </v>
      </c>
      <c r="AR2" s="1" t="str">
        <f>+[1]datos!AR2</f>
        <v/>
      </c>
      <c r="AS2" s="1" t="str">
        <f>+[1]datos!AS2</f>
        <v>NORTE</v>
      </c>
      <c r="AT2" s="1" t="str">
        <f>+[1]datos!AT2</f>
        <v>SUR</v>
      </c>
      <c r="AU2" s="1" t="str">
        <f>+[1]datos!AU2</f>
        <v>ORIENTE</v>
      </c>
      <c r="AV2" s="1" t="str">
        <f>+[1]datos!AV2</f>
        <v>PONIENTE</v>
      </c>
      <c r="AW2" s="1" t="str">
        <f>+[1]datos!AW2</f>
        <v>12</v>
      </c>
      <c r="AX2" s="1" t="str">
        <f>+[1]datos!AX2</f>
        <v>23</v>
      </c>
      <c r="AY2" s="1" t="str">
        <f>+[1]datos!AY2</f>
        <v>34</v>
      </c>
      <c r="AZ2" s="1" t="str">
        <f>+[1]datos!AZ2</f>
        <v>34</v>
      </c>
      <c r="BA2" s="1" t="str">
        <f>+[1]datos!BA2</f>
        <v>sdsdfsdfsdf</v>
      </c>
      <c r="BB2" s="1" t="str">
        <f>+[1]datos!BB2</f>
        <v>sdfsdf</v>
      </c>
      <c r="BC2" s="1" t="str">
        <f>+[1]datos!BC2</f>
        <v>sdfdsgsdfsdf</v>
      </c>
      <c r="BD2" s="1" t="str">
        <f>+[1]datos!BD2</f>
        <v>dsfgjgdsgsdf</v>
      </c>
      <c r="BE2" s="1" t="str">
        <f>+[1]datos!BE2</f>
        <v>MARURI JAIMES LUIS</v>
      </c>
      <c r="BF2" s="1" t="str">
        <f>+[1]datos!BF2</f>
        <v/>
      </c>
      <c r="BG2" s="1" t="str">
        <f>+[1]datos!BG2</f>
        <v/>
      </c>
      <c r="BH2" s="1" t="str">
        <f>+[1]datos!BH2</f>
        <v/>
      </c>
      <c r="BI2" s="1" t="str">
        <f>+[1]datos!BI2</f>
        <v>295846</v>
      </c>
      <c r="BJ2" s="1" t="str">
        <f>+[1]datos!BJ2</f>
        <v/>
      </c>
      <c r="BK2" s="1" t="str">
        <f>+[1]datos!BK2</f>
        <v>$ 800.00</v>
      </c>
      <c r="BL2" s="1" t="str">
        <f>+[1]datos!BL2</f>
        <v/>
      </c>
      <c r="BM2" s="1" t="str">
        <f>+[1]datos!BM2</f>
        <v/>
      </c>
      <c r="BN2" s="1">
        <f>+[1]datos!BN2</f>
        <v>0</v>
      </c>
      <c r="BO2" s="1" t="str">
        <f>+[1]datos!BO2</f>
        <v>800.00</v>
      </c>
      <c r="BP2" s="1" t="str">
        <f>+[1]datos!BP2</f>
        <v>21/01/2022</v>
      </c>
      <c r="BQ2" s="1" t="str">
        <f>+[1]datos!BQ2</f>
        <v>21/01/2022</v>
      </c>
      <c r="BR2" s="1" t="str">
        <f>+[1]datos!BR2</f>
        <v/>
      </c>
      <c r="BS2" s="1" t="str">
        <f>+[1]datos!BS2</f>
        <v/>
      </c>
      <c r="BT2" s="1" t="str">
        <f>+[1]datos!BT2</f>
        <v/>
      </c>
      <c r="BU2" s="1" t="str">
        <f>+[1]datos!BU2</f>
        <v xml:space="preserve">056 01 001 01  </v>
      </c>
      <c r="BV2" s="1" t="str">
        <f>+[1]datos!BV2</f>
        <v>0001</v>
      </c>
      <c r="BW2" s="1" t="str">
        <f>+[1]datos!BW2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">
                <anchor moveWithCells="1" sizeWithCells="1">
                  <from>
                    <xdr:col>4</xdr:col>
                    <xdr:colOff>510540</xdr:colOff>
                    <xdr:row>8</xdr:row>
                    <xdr:rowOff>30480</xdr:rowOff>
                  </from>
                  <to>
                    <xdr:col>7</xdr:col>
                    <xdr:colOff>274320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Android</dc:creator>
  <cp:lastModifiedBy>JAH S</cp:lastModifiedBy>
  <dcterms:created xsi:type="dcterms:W3CDTF">2019-01-20T10:29:14Z</dcterms:created>
  <dcterms:modified xsi:type="dcterms:W3CDTF">2022-01-21T13:50:13Z</dcterms:modified>
</cp:coreProperties>
</file>